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6c9e1de474c845a7/Desktop/School/03 Software Engineering Capstone/"/>
    </mc:Choice>
  </mc:AlternateContent>
  <xr:revisionPtr revIDLastSave="0" documentId="8_{ED1C4685-2849-40FA-B68F-EDB245745869}" xr6:coauthVersionLast="47" xr6:coauthVersionMax="47" xr10:uidLastSave="{00000000-0000-0000-0000-000000000000}"/>
  <bookViews>
    <workbookView xWindow="-110" yWindow="-110" windowWidth="38620" windowHeight="2110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1" l="1"/>
  <c r="H7" i="11"/>
  <c r="E9" i="11" l="1"/>
  <c r="F9" i="11" s="1"/>
  <c r="E10" i="11" s="1"/>
  <c r="E11" i="11" l="1"/>
  <c r="F11" i="11" s="1"/>
  <c r="E14" i="11"/>
  <c r="F14" i="11" s="1"/>
  <c r="F10" i="11"/>
  <c r="I5" i="11"/>
  <c r="H31" i="11"/>
  <c r="H30" i="11"/>
  <c r="H24" i="11"/>
  <c r="H21" i="11"/>
  <c r="H15" i="11"/>
  <c r="H8" i="11"/>
  <c r="E13" i="11" l="1"/>
  <c r="F12" i="11"/>
  <c r="H9" i="11"/>
  <c r="E16" i="11"/>
  <c r="I6" i="11"/>
  <c r="F16" i="11" l="1"/>
  <c r="E17" i="11"/>
  <c r="F17" i="11" s="1"/>
  <c r="E25" i="11"/>
  <c r="E26" i="11"/>
  <c r="H10" i="11"/>
  <c r="H16" i="11"/>
  <c r="H14" i="11"/>
  <c r="J5" i="11"/>
  <c r="K5" i="11" s="1"/>
  <c r="L5" i="11" s="1"/>
  <c r="M5" i="11" s="1"/>
  <c r="N5" i="11" s="1"/>
  <c r="O5" i="11" s="1"/>
  <c r="P5" i="11" s="1"/>
  <c r="I4" i="11"/>
  <c r="F26" i="11" l="1"/>
  <c r="E27" i="11" s="1"/>
  <c r="F25" i="11"/>
  <c r="H25" i="11" s="1"/>
  <c r="H26" i="11"/>
  <c r="H17" i="11"/>
  <c r="E18" i="11"/>
  <c r="F18" i="11" s="1"/>
  <c r="H12" i="11"/>
  <c r="F13" i="11"/>
  <c r="H13" i="11" s="1"/>
  <c r="P4" i="11"/>
  <c r="Q5" i="11"/>
  <c r="R5" i="11" s="1"/>
  <c r="S5" i="11" s="1"/>
  <c r="T5" i="11" s="1"/>
  <c r="U5" i="11" s="1"/>
  <c r="V5" i="11" s="1"/>
  <c r="W5" i="11" s="1"/>
  <c r="J6" i="11"/>
  <c r="E19" i="11" l="1"/>
  <c r="F27" i="11"/>
  <c r="H27" i="11" s="1"/>
  <c r="H18" i="11"/>
  <c r="W4" i="11"/>
  <c r="X5" i="11"/>
  <c r="Y5" i="11" s="1"/>
  <c r="Z5" i="11" s="1"/>
  <c r="AA5" i="11" s="1"/>
  <c r="AB5" i="11" s="1"/>
  <c r="AC5" i="11" s="1"/>
  <c r="AD5" i="11" s="1"/>
  <c r="K6" i="11"/>
  <c r="E28" i="11" l="1"/>
  <c r="E20" i="11"/>
  <c r="F19" i="11"/>
  <c r="AE5" i="11"/>
  <c r="AF5" i="11" s="1"/>
  <c r="AG5" i="11" s="1"/>
  <c r="AH5" i="11" s="1"/>
  <c r="AI5" i="11" s="1"/>
  <c r="AJ5" i="11" s="1"/>
  <c r="AD4" i="11"/>
  <c r="L6" i="11"/>
  <c r="F28" i="11" l="1"/>
  <c r="H19" i="11"/>
  <c r="E22" i="11"/>
  <c r="F20" i="11"/>
  <c r="H20" i="11"/>
  <c r="H28" i="11"/>
  <c r="AK5" i="11"/>
  <c r="AL5" i="11" s="1"/>
  <c r="AM5" i="11" s="1"/>
  <c r="AN5" i="11" s="1"/>
  <c r="AO5" i="11" s="1"/>
  <c r="AP5" i="11" s="1"/>
  <c r="AQ5" i="11" s="1"/>
  <c r="M6" i="11"/>
  <c r="F22" i="11" l="1"/>
  <c r="E23" i="11" s="1"/>
  <c r="H22" i="11"/>
  <c r="AR5" i="11"/>
  <c r="AS5" i="11" s="1"/>
  <c r="AK4" i="11"/>
  <c r="N6" i="11"/>
  <c r="E29" i="11" l="1"/>
  <c r="F23" i="11"/>
  <c r="H23" i="11" s="1"/>
  <c r="AT5" i="11"/>
  <c r="AS6" i="11"/>
  <c r="AR4" i="11"/>
  <c r="O6" i="11"/>
  <c r="F29" i="11" l="1"/>
  <c r="H29" i="11"/>
  <c r="AU5" i="1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<sst xmlns="http://schemas.openxmlformats.org/spreadsheetml/2006/main" count="52" uniqueCount="39">
  <si>
    <t>Insert new rows ABOVE this one</t>
  </si>
  <si>
    <t>PROGRESS</t>
  </si>
  <si>
    <t>START</t>
  </si>
  <si>
    <t>END</t>
  </si>
  <si>
    <t>TASK</t>
  </si>
  <si>
    <t xml:space="preserve">Do not delete this row. This row is hidden to preserve a formula that is used to highlight the current day within the project schedule. </t>
  </si>
  <si>
    <t>Project start:</t>
  </si>
  <si>
    <t>Display week:</t>
  </si>
  <si>
    <t>ASSIGNED TO</t>
  </si>
  <si>
    <t>Scrabble Project</t>
  </si>
  <si>
    <t>Group 2</t>
  </si>
  <si>
    <t>Deliverable #1: The Project Plan</t>
  </si>
  <si>
    <t>Scope Statement</t>
  </si>
  <si>
    <t>Org Chart</t>
  </si>
  <si>
    <t>Gantt Chart</t>
  </si>
  <si>
    <t>Tools &amp; Standards</t>
  </si>
  <si>
    <t>Configuration Management Plan</t>
  </si>
  <si>
    <t>Weekly Status Reports</t>
  </si>
  <si>
    <t>Deliverable #2: The Programmer’s Manual</t>
  </si>
  <si>
    <t>Requirements Documentation</t>
  </si>
  <si>
    <t>Design Documentation</t>
  </si>
  <si>
    <t>Source Code Documentation</t>
  </si>
  <si>
    <t>Testing Documentation</t>
  </si>
  <si>
    <t>Known Bugs and Issues</t>
  </si>
  <si>
    <t>Deliverable #3: The User Documentation</t>
  </si>
  <si>
    <t>User’s Manual</t>
  </si>
  <si>
    <t>Installation Instructions</t>
  </si>
  <si>
    <t>Deliverable #4: The Final Product</t>
  </si>
  <si>
    <t>Requirements Definition</t>
  </si>
  <si>
    <t>System &amp; Software Design</t>
  </si>
  <si>
    <t>Implementation and Unit Testing</t>
  </si>
  <si>
    <t>Integrating and System Testing</t>
  </si>
  <si>
    <t>Installer Finished and App Tested</t>
  </si>
  <si>
    <t>Joseph</t>
  </si>
  <si>
    <t>Wendy</t>
  </si>
  <si>
    <t>Nono</t>
  </si>
  <si>
    <t>Blake &amp; Wendy</t>
  </si>
  <si>
    <t>?</t>
  </si>
  <si>
    <t>Gantt Template Source: https://www.vertex42.com/ExcelTemplates/simple-gantt-chart.html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</si>
</sst>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sz val="11"/>
      <color theme="1"/>
      <name val="Arial Black"/>
      <family val="2"/>
      <scheme val="major"/>
    </font>
    <font>
      <b/>
      <sz val="40"/>
      <color theme="1"/>
      <name val="Arial Black"/>
      <family val="2"/>
      <scheme val="major"/>
    </font>
    <font>
      <b/>
      <sz val="16"/>
      <color theme="1"/>
      <name val="Arial"/>
      <family val="2"/>
      <scheme val="minor"/>
    </font>
    <font>
      <b/>
      <sz val="16"/>
      <color theme="1"/>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16" fillId="12" borderId="20" xfId="0" applyNumberFormat="1" applyFont="1" applyFill="1" applyBorder="1" applyAlignment="1">
      <alignment horizontal="center" vertical="center"/>
    </xf>
    <xf numFmtId="167" fontId="16" fillId="12" borderId="18" xfId="0" applyNumberFormat="1" applyFont="1" applyFill="1" applyBorder="1" applyAlignment="1">
      <alignment horizontal="center" vertical="center"/>
    </xf>
    <xf numFmtId="167" fontId="16" fillId="12" borderId="19" xfId="0" applyNumberFormat="1" applyFont="1" applyFill="1" applyBorder="1" applyAlignment="1">
      <alignment horizontal="center" vertical="center"/>
    </xf>
    <xf numFmtId="0" fontId="17" fillId="2" borderId="17"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4" fontId="14"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0" fontId="14" fillId="3" borderId="6" xfId="11" applyFont="1" applyFill="1" applyBorder="1" applyAlignment="1">
      <alignment vertical="center"/>
    </xf>
    <xf numFmtId="9" fontId="1" fillId="3" borderId="6" xfId="2" applyFont="1" applyFill="1" applyBorder="1" applyAlignment="1">
      <alignment horizontal="center" vertical="center"/>
    </xf>
    <xf numFmtId="164" fontId="14" fillId="3" borderId="6" xfId="10" applyFont="1" applyFill="1" applyBorder="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0" fontId="14" fillId="3" borderId="7" xfId="11" applyFont="1" applyFill="1" applyBorder="1" applyAlignment="1">
      <alignment vertical="center"/>
    </xf>
    <xf numFmtId="9" fontId="1" fillId="3" borderId="7" xfId="2" applyFont="1" applyFill="1" applyBorder="1" applyAlignment="1">
      <alignment horizontal="center" vertical="center"/>
    </xf>
    <xf numFmtId="164" fontId="14" fillId="3" borderId="7" xfId="10" applyFont="1" applyFill="1" applyBorder="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4" fontId="14"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9" fontId="1" fillId="4" borderId="5" xfId="2" applyFont="1" applyFill="1" applyBorder="1" applyAlignment="1">
      <alignment horizontal="center" vertical="center"/>
    </xf>
    <xf numFmtId="164" fontId="14" fillId="4" borderId="5" xfId="10" applyFont="1" applyFill="1" applyBorder="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4" fontId="14"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164" fontId="14" fillId="5" borderId="8" xfId="10" applyFont="1" applyFill="1" applyBorder="1">
      <alignment horizontal="center" vertical="center"/>
    </xf>
    <xf numFmtId="0" fontId="18" fillId="9" borderId="0" xfId="0" applyFont="1" applyFill="1" applyAlignment="1">
      <alignment horizontal="left" vertical="center" indent="1"/>
    </xf>
    <xf numFmtId="0" fontId="14" fillId="9" borderId="0" xfId="11" applyFont="1" applyFill="1" applyBorder="1" applyAlignment="1">
      <alignment vertical="center"/>
    </xf>
    <xf numFmtId="9" fontId="1" fillId="9" borderId="0" xfId="2" applyFont="1" applyFill="1" applyBorder="1" applyAlignment="1">
      <alignment horizontal="center" vertical="center"/>
    </xf>
    <xf numFmtId="164" fontId="14"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4" fillId="10" borderId="9" xfId="12" applyFont="1" applyFill="1" applyBorder="1">
      <alignment horizontal="left" vertical="center" indent="2"/>
    </xf>
    <xf numFmtId="0" fontId="14" fillId="10" borderId="9" xfId="11" applyFont="1" applyFill="1" applyBorder="1" applyAlignment="1">
      <alignment vertical="center"/>
    </xf>
    <xf numFmtId="9" fontId="1" fillId="10" borderId="9" xfId="2" applyFont="1" applyFill="1" applyBorder="1" applyAlignment="1">
      <alignment horizontal="center" vertical="center"/>
    </xf>
    <xf numFmtId="164" fontId="14" fillId="10" borderId="9" xfId="10" applyFont="1" applyFill="1" applyBorder="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4" fontId="14" fillId="0" borderId="0" xfId="10" applyFont="1" applyBorder="1">
      <alignment horizontal="center" vertical="center"/>
    </xf>
    <xf numFmtId="0" fontId="19" fillId="2" borderId="0" xfId="0" applyFont="1" applyFill="1" applyAlignment="1">
      <alignment horizontal="left" vertical="center" indent="1"/>
    </xf>
    <xf numFmtId="0" fontId="19" fillId="2" borderId="0" xfId="0" applyFont="1" applyFill="1" applyAlignment="1">
      <alignment vertical="center"/>
    </xf>
    <xf numFmtId="9" fontId="1" fillId="2" borderId="0" xfId="2" applyFont="1" applyFill="1" applyBorder="1" applyAlignment="1">
      <alignment horizontal="center" vertical="center"/>
    </xf>
    <xf numFmtId="164" fontId="20"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1" fillId="0" borderId="0" xfId="7" applyFont="1" applyAlignment="1">
      <alignment horizontal="left" vertical="center" indent="1"/>
    </xf>
    <xf numFmtId="0" fontId="23" fillId="0" borderId="0" xfId="5" applyFont="1" applyAlignment="1">
      <alignment horizontal="left"/>
    </xf>
    <xf numFmtId="0" fontId="24" fillId="0" borderId="0" xfId="6" applyFont="1" applyAlignment="1">
      <alignment horizontal="left" vertical="center" indent="1"/>
    </xf>
    <xf numFmtId="0" fontId="9" fillId="0" borderId="0" xfId="3" applyAlignment="1">
      <alignment wrapText="1"/>
    </xf>
    <xf numFmtId="0" fontId="1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5" fillId="11" borderId="16" xfId="0" applyFont="1" applyFill="1" applyBorder="1" applyAlignment="1">
      <alignment vertical="center"/>
    </xf>
    <xf numFmtId="0" fontId="4" fillId="2" borderId="21" xfId="0" applyFont="1" applyFill="1" applyBorder="1"/>
    <xf numFmtId="0" fontId="15" fillId="11" borderId="16" xfId="0" applyFont="1" applyFill="1" applyBorder="1" applyAlignment="1">
      <alignment horizontal="center" vertical="center"/>
    </xf>
    <xf numFmtId="0" fontId="25" fillId="0" borderId="0" xfId="0" applyFont="1" applyAlignment="1">
      <alignment horizontal="left"/>
    </xf>
    <xf numFmtId="0" fontId="22" fillId="0" borderId="0" xfId="0" applyFont="1"/>
    <xf numFmtId="165" fontId="25" fillId="0" borderId="0" xfId="9" applyFont="1" applyBorder="1" applyAlignment="1">
      <alignment horizontal="left"/>
    </xf>
    <xf numFmtId="0" fontId="24" fillId="0" borderId="0" xfId="8" applyFont="1" applyAlignment="1">
      <alignment horizontal="left"/>
    </xf>
    <xf numFmtId="0" fontId="4" fillId="0" borderId="0" xfId="0" applyFont="1"/>
    <xf numFmtId="166" fontId="14" fillId="2" borderId="13"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topLeftCell="A2" zoomScaleNormal="100" zoomScalePageLayoutView="70" workbookViewId="0">
      <selection activeCell="T22" sqref="T22"/>
    </sheetView>
  </sheetViews>
  <sheetFormatPr defaultColWidth="8.6640625" defaultRowHeight="30" customHeight="1" x14ac:dyDescent="0.3"/>
  <cols>
    <col min="1" max="1" width="2.6640625" style="7" customWidth="1"/>
    <col min="2" max="2" width="28.7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1.7">
      <c r="A1" s="8"/>
      <c r="B1" s="89" t="s">
        <v>9</v>
      </c>
      <c r="C1" s="12"/>
      <c r="D1" s="13"/>
      <c r="E1" s="14"/>
      <c r="F1" s="15"/>
      <c r="H1" s="1"/>
      <c r="I1" s="100" t="s">
        <v>6</v>
      </c>
      <c r="J1" s="101"/>
      <c r="K1" s="101"/>
      <c r="L1" s="101"/>
      <c r="M1" s="101"/>
      <c r="N1" s="101"/>
      <c r="O1" s="101"/>
      <c r="P1" s="18"/>
      <c r="Q1" s="99">
        <v>46048</v>
      </c>
      <c r="R1" s="98"/>
      <c r="S1" s="98"/>
      <c r="T1" s="98"/>
      <c r="U1" s="98"/>
      <c r="V1" s="98"/>
      <c r="W1" s="98"/>
      <c r="X1" s="98"/>
      <c r="Y1" s="98"/>
      <c r="Z1" s="98"/>
    </row>
    <row r="2" spans="1:64" ht="30" customHeight="1" x14ac:dyDescent="0.7">
      <c r="B2" s="90" t="s">
        <v>10</v>
      </c>
      <c r="C2" s="88"/>
      <c r="D2" s="16"/>
      <c r="E2" s="17"/>
      <c r="F2" s="16"/>
      <c r="I2" s="100" t="s">
        <v>7</v>
      </c>
      <c r="J2" s="101"/>
      <c r="K2" s="101"/>
      <c r="L2" s="101"/>
      <c r="M2" s="101"/>
      <c r="N2" s="101"/>
      <c r="O2" s="101"/>
      <c r="P2" s="18"/>
      <c r="Q2" s="97">
        <v>1</v>
      </c>
      <c r="R2" s="98"/>
      <c r="S2" s="98"/>
      <c r="T2" s="98"/>
      <c r="U2" s="98"/>
      <c r="V2" s="98"/>
      <c r="W2" s="98"/>
      <c r="X2" s="98"/>
      <c r="Y2" s="98"/>
      <c r="Z2" s="98"/>
    </row>
    <row r="3" spans="1:64" s="19" customFormat="1" ht="30" customHeight="1" x14ac:dyDescent="0.3">
      <c r="A3" s="7"/>
      <c r="B3" t="s">
        <v>38</v>
      </c>
      <c r="D3" s="20"/>
      <c r="E3" s="21"/>
    </row>
    <row r="4" spans="1:64" s="19" customFormat="1" ht="30" customHeight="1" x14ac:dyDescent="0.3">
      <c r="A4" s="8"/>
      <c r="B4"/>
      <c r="E4" s="22"/>
      <c r="I4" s="104">
        <f>I5</f>
        <v>46048</v>
      </c>
      <c r="J4" s="102"/>
      <c r="K4" s="102"/>
      <c r="L4" s="102"/>
      <c r="M4" s="102"/>
      <c r="N4" s="102"/>
      <c r="O4" s="102"/>
      <c r="P4" s="102">
        <f>P5</f>
        <v>46055</v>
      </c>
      <c r="Q4" s="102"/>
      <c r="R4" s="102"/>
      <c r="S4" s="102"/>
      <c r="T4" s="102"/>
      <c r="U4" s="102"/>
      <c r="V4" s="102"/>
      <c r="W4" s="102">
        <f>W5</f>
        <v>46062</v>
      </c>
      <c r="X4" s="102"/>
      <c r="Y4" s="102"/>
      <c r="Z4" s="102"/>
      <c r="AA4" s="102"/>
      <c r="AB4" s="102"/>
      <c r="AC4" s="102"/>
      <c r="AD4" s="102">
        <f>AD5</f>
        <v>46069</v>
      </c>
      <c r="AE4" s="102"/>
      <c r="AF4" s="102"/>
      <c r="AG4" s="102"/>
      <c r="AH4" s="102"/>
      <c r="AI4" s="102"/>
      <c r="AJ4" s="102"/>
      <c r="AK4" s="102">
        <f>AK5</f>
        <v>46076</v>
      </c>
      <c r="AL4" s="102"/>
      <c r="AM4" s="102"/>
      <c r="AN4" s="102"/>
      <c r="AO4" s="102"/>
      <c r="AP4" s="102"/>
      <c r="AQ4" s="102"/>
      <c r="AR4" s="102">
        <f>AR5</f>
        <v>46083</v>
      </c>
      <c r="AS4" s="102"/>
      <c r="AT4" s="102"/>
      <c r="AU4" s="102"/>
      <c r="AV4" s="102"/>
      <c r="AW4" s="102"/>
      <c r="AX4" s="102"/>
      <c r="AY4" s="102">
        <f>AY5</f>
        <v>46090</v>
      </c>
      <c r="AZ4" s="102"/>
      <c r="BA4" s="102"/>
      <c r="BB4" s="102"/>
      <c r="BC4" s="102"/>
      <c r="BD4" s="102"/>
      <c r="BE4" s="102"/>
      <c r="BF4" s="102">
        <f>BF5</f>
        <v>46097</v>
      </c>
      <c r="BG4" s="102"/>
      <c r="BH4" s="102"/>
      <c r="BI4" s="102"/>
      <c r="BJ4" s="102"/>
      <c r="BK4" s="102"/>
      <c r="BL4" s="103"/>
    </row>
    <row r="5" spans="1:64" s="19" customFormat="1" ht="15" customHeight="1" x14ac:dyDescent="0.3">
      <c r="A5" s="91"/>
      <c r="B5" s="92" t="s">
        <v>4</v>
      </c>
      <c r="C5" s="94" t="s">
        <v>8</v>
      </c>
      <c r="D5" s="96" t="s">
        <v>1</v>
      </c>
      <c r="E5" s="96" t="s">
        <v>2</v>
      </c>
      <c r="F5" s="96" t="s">
        <v>3</v>
      </c>
      <c r="I5" s="23">
        <f>Project_Start-WEEKDAY(Project_Start,1)+2+7*(Display_Week-1)</f>
        <v>46048</v>
      </c>
      <c r="J5" s="23">
        <f>I5+1</f>
        <v>46049</v>
      </c>
      <c r="K5" s="23">
        <f t="shared" ref="K5:AX5" si="0">J5+1</f>
        <v>46050</v>
      </c>
      <c r="L5" s="23">
        <f t="shared" si="0"/>
        <v>46051</v>
      </c>
      <c r="M5" s="23">
        <f t="shared" si="0"/>
        <v>46052</v>
      </c>
      <c r="N5" s="23">
        <f t="shared" si="0"/>
        <v>46053</v>
      </c>
      <c r="O5" s="24">
        <f t="shared" si="0"/>
        <v>46054</v>
      </c>
      <c r="P5" s="25">
        <f>O5+1</f>
        <v>46055</v>
      </c>
      <c r="Q5" s="23">
        <f>P5+1</f>
        <v>46056</v>
      </c>
      <c r="R5" s="23">
        <f t="shared" si="0"/>
        <v>46057</v>
      </c>
      <c r="S5" s="23">
        <f t="shared" si="0"/>
        <v>46058</v>
      </c>
      <c r="T5" s="23">
        <f t="shared" si="0"/>
        <v>46059</v>
      </c>
      <c r="U5" s="23">
        <f t="shared" si="0"/>
        <v>46060</v>
      </c>
      <c r="V5" s="24">
        <f t="shared" si="0"/>
        <v>46061</v>
      </c>
      <c r="W5" s="25">
        <f>V5+1</f>
        <v>46062</v>
      </c>
      <c r="X5" s="23">
        <f>W5+1</f>
        <v>46063</v>
      </c>
      <c r="Y5" s="23">
        <f t="shared" si="0"/>
        <v>46064</v>
      </c>
      <c r="Z5" s="23">
        <f t="shared" si="0"/>
        <v>46065</v>
      </c>
      <c r="AA5" s="23">
        <f t="shared" si="0"/>
        <v>46066</v>
      </c>
      <c r="AB5" s="23">
        <f t="shared" si="0"/>
        <v>46067</v>
      </c>
      <c r="AC5" s="24">
        <f t="shared" si="0"/>
        <v>46068</v>
      </c>
      <c r="AD5" s="25">
        <f>AC5+1</f>
        <v>46069</v>
      </c>
      <c r="AE5" s="23">
        <f>AD5+1</f>
        <v>46070</v>
      </c>
      <c r="AF5" s="23">
        <f t="shared" si="0"/>
        <v>46071</v>
      </c>
      <c r="AG5" s="23">
        <f t="shared" si="0"/>
        <v>46072</v>
      </c>
      <c r="AH5" s="23">
        <f t="shared" si="0"/>
        <v>46073</v>
      </c>
      <c r="AI5" s="23">
        <f t="shared" si="0"/>
        <v>46074</v>
      </c>
      <c r="AJ5" s="24">
        <f t="shared" si="0"/>
        <v>46075</v>
      </c>
      <c r="AK5" s="25">
        <f>AJ5+1</f>
        <v>46076</v>
      </c>
      <c r="AL5" s="23">
        <f>AK5+1</f>
        <v>46077</v>
      </c>
      <c r="AM5" s="23">
        <f t="shared" si="0"/>
        <v>46078</v>
      </c>
      <c r="AN5" s="23">
        <f t="shared" si="0"/>
        <v>46079</v>
      </c>
      <c r="AO5" s="23">
        <f t="shared" si="0"/>
        <v>46080</v>
      </c>
      <c r="AP5" s="23">
        <f t="shared" si="0"/>
        <v>46081</v>
      </c>
      <c r="AQ5" s="24">
        <f t="shared" si="0"/>
        <v>46082</v>
      </c>
      <c r="AR5" s="25">
        <f>AQ5+1</f>
        <v>46083</v>
      </c>
      <c r="AS5" s="23">
        <f>AR5+1</f>
        <v>46084</v>
      </c>
      <c r="AT5" s="23">
        <f t="shared" si="0"/>
        <v>46085</v>
      </c>
      <c r="AU5" s="23">
        <f t="shared" si="0"/>
        <v>46086</v>
      </c>
      <c r="AV5" s="23">
        <f t="shared" si="0"/>
        <v>46087</v>
      </c>
      <c r="AW5" s="23">
        <f t="shared" si="0"/>
        <v>46088</v>
      </c>
      <c r="AX5" s="24">
        <f t="shared" si="0"/>
        <v>46089</v>
      </c>
      <c r="AY5" s="25">
        <f>AX5+1</f>
        <v>46090</v>
      </c>
      <c r="AZ5" s="23">
        <f>AY5+1</f>
        <v>46091</v>
      </c>
      <c r="BA5" s="23">
        <f t="shared" ref="BA5:BE5" si="1">AZ5+1</f>
        <v>46092</v>
      </c>
      <c r="BB5" s="23">
        <f t="shared" si="1"/>
        <v>46093</v>
      </c>
      <c r="BC5" s="23">
        <f t="shared" si="1"/>
        <v>46094</v>
      </c>
      <c r="BD5" s="23">
        <f t="shared" si="1"/>
        <v>46095</v>
      </c>
      <c r="BE5" s="24">
        <f t="shared" si="1"/>
        <v>46096</v>
      </c>
      <c r="BF5" s="25">
        <f>BE5+1</f>
        <v>46097</v>
      </c>
      <c r="BG5" s="23">
        <f>BF5+1</f>
        <v>46098</v>
      </c>
      <c r="BH5" s="23">
        <f t="shared" ref="BH5:BL5" si="2">BG5+1</f>
        <v>46099</v>
      </c>
      <c r="BI5" s="23">
        <f t="shared" si="2"/>
        <v>46100</v>
      </c>
      <c r="BJ5" s="23">
        <f t="shared" si="2"/>
        <v>46101</v>
      </c>
      <c r="BK5" s="23">
        <f t="shared" si="2"/>
        <v>46102</v>
      </c>
      <c r="BL5" s="23">
        <f t="shared" si="2"/>
        <v>46103</v>
      </c>
    </row>
    <row r="6" spans="1:64" s="19" customFormat="1" ht="15" customHeight="1" thickBot="1" x14ac:dyDescent="0.35">
      <c r="A6" s="91"/>
      <c r="B6" s="93"/>
      <c r="C6" s="95"/>
      <c r="D6" s="95"/>
      <c r="E6" s="95"/>
      <c r="F6" s="95"/>
      <c r="I6" s="26" t="str">
        <f t="shared" ref="I6:AN6" si="3">LEFT(TEXT(I5,"ddd"),1)</f>
        <v>M</v>
      </c>
      <c r="J6" s="27" t="str">
        <f t="shared" si="3"/>
        <v>T</v>
      </c>
      <c r="K6" s="27" t="str">
        <f t="shared" si="3"/>
        <v>W</v>
      </c>
      <c r="L6" s="27" t="str">
        <f t="shared" si="3"/>
        <v>T</v>
      </c>
      <c r="M6" s="27" t="str">
        <f t="shared" si="3"/>
        <v>F</v>
      </c>
      <c r="N6" s="27" t="str">
        <f t="shared" si="3"/>
        <v>S</v>
      </c>
      <c r="O6" s="27" t="str">
        <f t="shared" si="3"/>
        <v>S</v>
      </c>
      <c r="P6" s="27" t="str">
        <f t="shared" si="3"/>
        <v>M</v>
      </c>
      <c r="Q6" s="27" t="str">
        <f t="shared" si="3"/>
        <v>T</v>
      </c>
      <c r="R6" s="27" t="str">
        <f t="shared" si="3"/>
        <v>W</v>
      </c>
      <c r="S6" s="27" t="str">
        <f t="shared" si="3"/>
        <v>T</v>
      </c>
      <c r="T6" s="27" t="str">
        <f t="shared" si="3"/>
        <v>F</v>
      </c>
      <c r="U6" s="27" t="str">
        <f t="shared" si="3"/>
        <v>S</v>
      </c>
      <c r="V6" s="27" t="str">
        <f t="shared" si="3"/>
        <v>S</v>
      </c>
      <c r="W6" s="27" t="str">
        <f t="shared" si="3"/>
        <v>M</v>
      </c>
      <c r="X6" s="27" t="str">
        <f t="shared" si="3"/>
        <v>T</v>
      </c>
      <c r="Y6" s="27" t="str">
        <f t="shared" si="3"/>
        <v>W</v>
      </c>
      <c r="Z6" s="27" t="str">
        <f t="shared" si="3"/>
        <v>T</v>
      </c>
      <c r="AA6" s="27" t="str">
        <f t="shared" si="3"/>
        <v>F</v>
      </c>
      <c r="AB6" s="27" t="str">
        <f t="shared" si="3"/>
        <v>S</v>
      </c>
      <c r="AC6" s="27" t="str">
        <f t="shared" si="3"/>
        <v>S</v>
      </c>
      <c r="AD6" s="27" t="str">
        <f t="shared" si="3"/>
        <v>M</v>
      </c>
      <c r="AE6" s="27" t="str">
        <f t="shared" si="3"/>
        <v>T</v>
      </c>
      <c r="AF6" s="27" t="str">
        <f t="shared" si="3"/>
        <v>W</v>
      </c>
      <c r="AG6" s="27" t="str">
        <f t="shared" si="3"/>
        <v>T</v>
      </c>
      <c r="AH6" s="27" t="str">
        <f t="shared" si="3"/>
        <v>F</v>
      </c>
      <c r="AI6" s="27" t="str">
        <f t="shared" si="3"/>
        <v>S</v>
      </c>
      <c r="AJ6" s="27" t="str">
        <f t="shared" si="3"/>
        <v>S</v>
      </c>
      <c r="AK6" s="27" t="str">
        <f t="shared" si="3"/>
        <v>M</v>
      </c>
      <c r="AL6" s="27" t="str">
        <f t="shared" si="3"/>
        <v>T</v>
      </c>
      <c r="AM6" s="27" t="str">
        <f t="shared" si="3"/>
        <v>W</v>
      </c>
      <c r="AN6" s="27" t="str">
        <f t="shared" si="3"/>
        <v>T</v>
      </c>
      <c r="AO6" s="27" t="str">
        <f t="shared" ref="AO6:BL6" si="4">LEFT(TEXT(AO5,"ddd"),1)</f>
        <v>F</v>
      </c>
      <c r="AP6" s="27" t="str">
        <f t="shared" si="4"/>
        <v>S</v>
      </c>
      <c r="AQ6" s="27" t="str">
        <f t="shared" si="4"/>
        <v>S</v>
      </c>
      <c r="AR6" s="27" t="str">
        <f t="shared" si="4"/>
        <v>M</v>
      </c>
      <c r="AS6" s="27" t="str">
        <f t="shared" si="4"/>
        <v>T</v>
      </c>
      <c r="AT6" s="27" t="str">
        <f t="shared" si="4"/>
        <v>W</v>
      </c>
      <c r="AU6" s="27" t="str">
        <f t="shared" si="4"/>
        <v>T</v>
      </c>
      <c r="AV6" s="27" t="str">
        <f t="shared" si="4"/>
        <v>F</v>
      </c>
      <c r="AW6" s="27" t="str">
        <f t="shared" si="4"/>
        <v>S</v>
      </c>
      <c r="AX6" s="27" t="str">
        <f t="shared" si="4"/>
        <v>S</v>
      </c>
      <c r="AY6" s="27" t="str">
        <f t="shared" si="4"/>
        <v>M</v>
      </c>
      <c r="AZ6" s="27" t="str">
        <f t="shared" si="4"/>
        <v>T</v>
      </c>
      <c r="BA6" s="27" t="str">
        <f t="shared" si="4"/>
        <v>W</v>
      </c>
      <c r="BB6" s="27" t="str">
        <f t="shared" si="4"/>
        <v>T</v>
      </c>
      <c r="BC6" s="27" t="str">
        <f t="shared" si="4"/>
        <v>F</v>
      </c>
      <c r="BD6" s="27" t="str">
        <f t="shared" si="4"/>
        <v>S</v>
      </c>
      <c r="BE6" s="27" t="str">
        <f t="shared" si="4"/>
        <v>S</v>
      </c>
      <c r="BF6" s="27" t="str">
        <f t="shared" si="4"/>
        <v>M</v>
      </c>
      <c r="BG6" s="27" t="str">
        <f t="shared" si="4"/>
        <v>T</v>
      </c>
      <c r="BH6" s="27" t="str">
        <f t="shared" si="4"/>
        <v>W</v>
      </c>
      <c r="BI6" s="27" t="str">
        <f t="shared" si="4"/>
        <v>T</v>
      </c>
      <c r="BJ6" s="27" t="str">
        <f t="shared" si="4"/>
        <v>F</v>
      </c>
      <c r="BK6" s="27" t="str">
        <f t="shared" si="4"/>
        <v>S</v>
      </c>
      <c r="BL6" s="28" t="str">
        <f t="shared" si="4"/>
        <v>S</v>
      </c>
    </row>
    <row r="7" spans="1:64" s="19" customFormat="1" ht="30" hidden="1" customHeight="1" thickBot="1" x14ac:dyDescent="0.35">
      <c r="A7" s="7" t="s">
        <v>5</v>
      </c>
      <c r="B7" s="29"/>
      <c r="C7" s="30"/>
      <c r="D7" s="29"/>
      <c r="E7" s="29"/>
      <c r="F7" s="29"/>
      <c r="H7" s="19"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8" customFormat="1" ht="30" customHeight="1" thickBot="1" x14ac:dyDescent="0.35">
      <c r="A8" s="8"/>
      <c r="B8" s="32" t="s">
        <v>11</v>
      </c>
      <c r="C8" s="33"/>
      <c r="D8" s="34"/>
      <c r="E8" s="35"/>
      <c r="F8" s="36"/>
      <c r="G8" s="11"/>
      <c r="H8" s="5" t="str">
        <f t="shared" ref="H8:H31" si="5">IF(OR(ISBLANK(task_start),ISBLANK(task_end)),"",task_end-task_start+1)</f>
        <v/>
      </c>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64" s="38" customFormat="1" ht="30" customHeight="1" thickBot="1" x14ac:dyDescent="0.35">
      <c r="A9" s="8"/>
      <c r="B9" s="39" t="s">
        <v>12</v>
      </c>
      <c r="C9" s="40" t="s">
        <v>33</v>
      </c>
      <c r="D9" s="41">
        <v>1</v>
      </c>
      <c r="E9" s="42">
        <f>Project_Start</f>
        <v>46048</v>
      </c>
      <c r="F9" s="42">
        <f>E9+8</f>
        <v>46056</v>
      </c>
      <c r="G9" s="11"/>
      <c r="H9" s="5">
        <f t="shared" si="5"/>
        <v>9</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8" customFormat="1" ht="30" customHeight="1" thickBot="1" x14ac:dyDescent="0.35">
      <c r="A10" s="8"/>
      <c r="B10" s="44" t="s">
        <v>13</v>
      </c>
      <c r="C10" s="45" t="s">
        <v>34</v>
      </c>
      <c r="D10" s="46">
        <v>1</v>
      </c>
      <c r="E10" s="47">
        <f>F9</f>
        <v>46056</v>
      </c>
      <c r="F10" s="47">
        <f>E10+1</f>
        <v>46057</v>
      </c>
      <c r="G10" s="11"/>
      <c r="H10" s="5">
        <f t="shared" si="5"/>
        <v>2</v>
      </c>
      <c r="I10" s="43"/>
      <c r="J10" s="43"/>
      <c r="K10" s="43"/>
      <c r="L10" s="43"/>
      <c r="M10" s="43"/>
      <c r="N10" s="43"/>
      <c r="O10" s="43"/>
      <c r="P10" s="43"/>
      <c r="Q10" s="43"/>
      <c r="R10" s="43"/>
      <c r="S10" s="43"/>
      <c r="T10" s="43"/>
      <c r="U10" s="48"/>
      <c r="V10" s="48"/>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8" customFormat="1" ht="30" customHeight="1" thickBot="1" x14ac:dyDescent="0.35">
      <c r="A11" s="7"/>
      <c r="B11" s="44" t="s">
        <v>16</v>
      </c>
      <c r="C11" s="45" t="s">
        <v>34</v>
      </c>
      <c r="D11" s="46">
        <v>1</v>
      </c>
      <c r="E11" s="47">
        <f>E10</f>
        <v>46056</v>
      </c>
      <c r="F11" s="47">
        <f>E11+2</f>
        <v>46058</v>
      </c>
      <c r="G11" s="11"/>
      <c r="H11" s="5"/>
      <c r="I11" s="43"/>
      <c r="J11" s="43"/>
      <c r="K11" s="43"/>
      <c r="L11" s="43"/>
      <c r="M11" s="43"/>
      <c r="N11" s="43"/>
      <c r="O11" s="43"/>
      <c r="P11" s="43"/>
      <c r="Q11" s="43"/>
      <c r="R11" s="43"/>
      <c r="S11" s="43"/>
      <c r="T11" s="43"/>
      <c r="U11" s="43"/>
      <c r="V11" s="43"/>
      <c r="W11" s="43"/>
      <c r="X11" s="43"/>
      <c r="Y11" s="48"/>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8" customFormat="1" ht="30" customHeight="1" thickBot="1" x14ac:dyDescent="0.35">
      <c r="A12" s="7"/>
      <c r="B12" s="44" t="s">
        <v>14</v>
      </c>
      <c r="C12" s="45" t="s">
        <v>33</v>
      </c>
      <c r="D12" s="46">
        <v>1</v>
      </c>
      <c r="E12" s="47">
        <f>F10 + 7</f>
        <v>46064</v>
      </c>
      <c r="F12" s="47">
        <f>E12+4</f>
        <v>46068</v>
      </c>
      <c r="G12" s="11"/>
      <c r="H12" s="5">
        <f t="shared" si="5"/>
        <v>5</v>
      </c>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8" customFormat="1" ht="30" customHeight="1" thickBot="1" x14ac:dyDescent="0.35">
      <c r="A13" s="7"/>
      <c r="B13" s="44" t="s">
        <v>15</v>
      </c>
      <c r="C13" s="45" t="s">
        <v>35</v>
      </c>
      <c r="D13" s="46">
        <v>1</v>
      </c>
      <c r="E13" s="47">
        <f>E12</f>
        <v>46064</v>
      </c>
      <c r="F13" s="47">
        <f>E13+5</f>
        <v>46069</v>
      </c>
      <c r="G13" s="11"/>
      <c r="H13" s="5">
        <f t="shared" si="5"/>
        <v>6</v>
      </c>
      <c r="I13" s="43"/>
      <c r="J13" s="43"/>
      <c r="K13" s="43"/>
      <c r="L13" s="43"/>
      <c r="M13" s="43"/>
      <c r="N13" s="43"/>
      <c r="O13" s="43"/>
      <c r="P13" s="43"/>
      <c r="Q13" s="43"/>
      <c r="R13" s="43"/>
      <c r="S13" s="43"/>
      <c r="T13" s="43"/>
      <c r="U13" s="43"/>
      <c r="V13" s="43"/>
      <c r="W13" s="43"/>
      <c r="X13" s="43"/>
      <c r="Y13" s="48"/>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8" customFormat="1" ht="30" customHeight="1" thickBot="1" x14ac:dyDescent="0.35">
      <c r="A14" s="7"/>
      <c r="B14" s="44" t="s">
        <v>17</v>
      </c>
      <c r="C14" s="45" t="s">
        <v>33</v>
      </c>
      <c r="D14" s="46">
        <v>0.45</v>
      </c>
      <c r="E14" s="47">
        <f>E10- 1</f>
        <v>46055</v>
      </c>
      <c r="F14" s="47">
        <f>E14+77</f>
        <v>46132</v>
      </c>
      <c r="G14" s="11"/>
      <c r="H14" s="5">
        <f t="shared" si="5"/>
        <v>78</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8" customFormat="1" ht="30" customHeight="1" thickBot="1" x14ac:dyDescent="0.35">
      <c r="A15" s="8"/>
      <c r="B15" s="49" t="s">
        <v>18</v>
      </c>
      <c r="C15" s="50"/>
      <c r="D15" s="51"/>
      <c r="E15" s="52"/>
      <c r="F15" s="53"/>
      <c r="G15" s="11"/>
      <c r="H15" s="5" t="str">
        <f t="shared" si="5"/>
        <v/>
      </c>
    </row>
    <row r="16" spans="1:64" s="38" customFormat="1" ht="30" customHeight="1" thickBot="1" x14ac:dyDescent="0.35">
      <c r="A16" s="8"/>
      <c r="B16" s="54" t="s">
        <v>19</v>
      </c>
      <c r="C16" s="55" t="s">
        <v>36</v>
      </c>
      <c r="D16" s="56">
        <v>0.35</v>
      </c>
      <c r="E16" s="57">
        <f>E14+1</f>
        <v>46056</v>
      </c>
      <c r="F16" s="57">
        <f>E16+26</f>
        <v>46082</v>
      </c>
      <c r="G16" s="11"/>
      <c r="H16" s="5">
        <f t="shared" si="5"/>
        <v>27</v>
      </c>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8" customFormat="1" ht="30" customHeight="1" thickBot="1" x14ac:dyDescent="0.35">
      <c r="A17" s="7"/>
      <c r="B17" s="54" t="s">
        <v>20</v>
      </c>
      <c r="C17" s="55" t="s">
        <v>37</v>
      </c>
      <c r="D17" s="56">
        <v>0.2</v>
      </c>
      <c r="E17" s="57">
        <f>E16</f>
        <v>46056</v>
      </c>
      <c r="F17" s="57">
        <f>E17+26</f>
        <v>46082</v>
      </c>
      <c r="G17" s="11"/>
      <c r="H17" s="5">
        <f t="shared" si="5"/>
        <v>27</v>
      </c>
      <c r="I17" s="43"/>
      <c r="J17" s="43"/>
      <c r="K17" s="43"/>
      <c r="L17" s="43"/>
      <c r="M17" s="43"/>
      <c r="N17" s="43"/>
      <c r="O17" s="43"/>
      <c r="P17" s="43"/>
      <c r="Q17" s="43"/>
      <c r="R17" s="43"/>
      <c r="S17" s="43"/>
      <c r="T17" s="43"/>
      <c r="U17" s="48"/>
      <c r="V17" s="48"/>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8" customFormat="1" ht="30" customHeight="1" thickBot="1" x14ac:dyDescent="0.35">
      <c r="A18" s="7"/>
      <c r="B18" s="54" t="s">
        <v>21</v>
      </c>
      <c r="C18" s="55" t="s">
        <v>37</v>
      </c>
      <c r="D18" s="56">
        <v>0</v>
      </c>
      <c r="E18" s="57">
        <f>F17</f>
        <v>46082</v>
      </c>
      <c r="F18" s="57">
        <f>E18+15</f>
        <v>46097</v>
      </c>
      <c r="G18" s="11"/>
      <c r="H18" s="5">
        <f t="shared" si="5"/>
        <v>16</v>
      </c>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8" customFormat="1" ht="30" customHeight="1" thickBot="1" x14ac:dyDescent="0.35">
      <c r="A19" s="7"/>
      <c r="B19" s="54" t="s">
        <v>22</v>
      </c>
      <c r="C19" s="55" t="s">
        <v>37</v>
      </c>
      <c r="D19" s="56">
        <v>0</v>
      </c>
      <c r="E19" s="57">
        <f>F18</f>
        <v>46097</v>
      </c>
      <c r="F19" s="57">
        <f>E19+15</f>
        <v>46112</v>
      </c>
      <c r="G19" s="11"/>
      <c r="H19" s="5">
        <f t="shared" si="5"/>
        <v>16</v>
      </c>
      <c r="I19" s="43"/>
      <c r="J19" s="43"/>
      <c r="K19" s="43"/>
      <c r="L19" s="43"/>
      <c r="M19" s="43"/>
      <c r="N19" s="43"/>
      <c r="O19" s="43"/>
      <c r="P19" s="43"/>
      <c r="Q19" s="43"/>
      <c r="R19" s="43"/>
      <c r="S19" s="43"/>
      <c r="T19" s="43"/>
      <c r="U19" s="43"/>
      <c r="V19" s="43"/>
      <c r="W19" s="43"/>
      <c r="X19" s="43"/>
      <c r="Y19" s="4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8" customFormat="1" ht="30" customHeight="1" thickBot="1" x14ac:dyDescent="0.35">
      <c r="A20" s="7"/>
      <c r="B20" s="54" t="s">
        <v>23</v>
      </c>
      <c r="C20" s="55" t="s">
        <v>37</v>
      </c>
      <c r="D20" s="56">
        <v>0</v>
      </c>
      <c r="E20" s="57">
        <f>E19+10</f>
        <v>46107</v>
      </c>
      <c r="F20" s="57">
        <f>E20+5</f>
        <v>46112</v>
      </c>
      <c r="G20" s="11"/>
      <c r="H20" s="5">
        <f t="shared" si="5"/>
        <v>6</v>
      </c>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8" customFormat="1" ht="30" customHeight="1" thickBot="1" x14ac:dyDescent="0.35">
      <c r="A21" s="7"/>
      <c r="B21" s="58" t="s">
        <v>24</v>
      </c>
      <c r="C21" s="59"/>
      <c r="D21" s="60"/>
      <c r="E21" s="61"/>
      <c r="F21" s="62"/>
      <c r="G21" s="11"/>
      <c r="H21" s="5" t="str">
        <f t="shared" si="5"/>
        <v/>
      </c>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row>
    <row r="22" spans="1:64" s="38" customFormat="1" ht="30" customHeight="1" thickBot="1" x14ac:dyDescent="0.35">
      <c r="A22" s="7"/>
      <c r="B22" s="64" t="s">
        <v>25</v>
      </c>
      <c r="C22" s="65" t="s">
        <v>37</v>
      </c>
      <c r="D22" s="66">
        <v>0</v>
      </c>
      <c r="E22" s="67">
        <f>E20</f>
        <v>46107</v>
      </c>
      <c r="F22" s="67">
        <f>E22+5</f>
        <v>46112</v>
      </c>
      <c r="G22" s="11"/>
      <c r="H22" s="5">
        <f t="shared" si="5"/>
        <v>6</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8" customFormat="1" ht="30" customHeight="1" thickBot="1" x14ac:dyDescent="0.35">
      <c r="A23" s="7"/>
      <c r="B23" s="64" t="s">
        <v>26</v>
      </c>
      <c r="C23" s="65" t="s">
        <v>37</v>
      </c>
      <c r="D23" s="66">
        <v>0</v>
      </c>
      <c r="E23" s="67">
        <f>F22+1</f>
        <v>46113</v>
      </c>
      <c r="F23" s="67">
        <f>E23+4</f>
        <v>46117</v>
      </c>
      <c r="G23" s="11"/>
      <c r="H23" s="5">
        <f t="shared" si="5"/>
        <v>5</v>
      </c>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8" customFormat="1" ht="30" customHeight="1" thickBot="1" x14ac:dyDescent="0.35">
      <c r="A24" s="7"/>
      <c r="B24" s="68" t="s">
        <v>27</v>
      </c>
      <c r="C24" s="69"/>
      <c r="D24" s="70"/>
      <c r="E24" s="71"/>
      <c r="F24" s="72"/>
      <c r="G24" s="11"/>
      <c r="H24" s="5" t="str">
        <f t="shared" si="5"/>
        <v/>
      </c>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row>
    <row r="25" spans="1:64" s="38" customFormat="1" ht="30" customHeight="1" thickBot="1" x14ac:dyDescent="0.35">
      <c r="A25" s="7"/>
      <c r="B25" s="74" t="s">
        <v>28</v>
      </c>
      <c r="C25" s="75" t="s">
        <v>36</v>
      </c>
      <c r="D25" s="76">
        <v>0.2</v>
      </c>
      <c r="E25" s="77">
        <f>E16</f>
        <v>46056</v>
      </c>
      <c r="F25" s="77">
        <f>F16</f>
        <v>46082</v>
      </c>
      <c r="G25" s="11"/>
      <c r="H25" s="5">
        <f t="shared" si="5"/>
        <v>27</v>
      </c>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8" customFormat="1" ht="30" customHeight="1" thickBot="1" x14ac:dyDescent="0.35">
      <c r="A26" s="7"/>
      <c r="B26" s="74" t="s">
        <v>29</v>
      </c>
      <c r="C26" s="75" t="s">
        <v>37</v>
      </c>
      <c r="D26" s="76">
        <v>0.2</v>
      </c>
      <c r="E26" s="77">
        <f>E16</f>
        <v>46056</v>
      </c>
      <c r="F26" s="77">
        <f>F16</f>
        <v>46082</v>
      </c>
      <c r="G26" s="11"/>
      <c r="H26" s="5">
        <f t="shared" si="5"/>
        <v>27</v>
      </c>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8" customFormat="1" ht="30" customHeight="1" thickBot="1" x14ac:dyDescent="0.35">
      <c r="A27" s="7"/>
      <c r="B27" s="74" t="s">
        <v>30</v>
      </c>
      <c r="C27" s="75" t="s">
        <v>37</v>
      </c>
      <c r="D27" s="76">
        <v>0</v>
      </c>
      <c r="E27" s="77">
        <f>F26</f>
        <v>46082</v>
      </c>
      <c r="F27" s="77">
        <f>F18</f>
        <v>46097</v>
      </c>
      <c r="G27" s="11"/>
      <c r="H27" s="5">
        <f t="shared" si="5"/>
        <v>16</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8" customFormat="1" ht="30" customHeight="1" thickBot="1" x14ac:dyDescent="0.35">
      <c r="A28" s="7"/>
      <c r="B28" s="74" t="s">
        <v>31</v>
      </c>
      <c r="C28" s="75" t="s">
        <v>37</v>
      </c>
      <c r="D28" s="76">
        <v>0</v>
      </c>
      <c r="E28" s="77">
        <f>E19</f>
        <v>46097</v>
      </c>
      <c r="F28" s="77">
        <f>F19</f>
        <v>46112</v>
      </c>
      <c r="G28" s="11"/>
      <c r="H28" s="5">
        <f t="shared" si="5"/>
        <v>16</v>
      </c>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row>
    <row r="29" spans="1:64" s="38" customFormat="1" ht="30" customHeight="1" thickBot="1" x14ac:dyDescent="0.35">
      <c r="A29" s="7"/>
      <c r="B29" s="74" t="s">
        <v>32</v>
      </c>
      <c r="C29" s="75" t="s">
        <v>37</v>
      </c>
      <c r="D29" s="76">
        <v>0</v>
      </c>
      <c r="E29" s="77">
        <f>E23</f>
        <v>46113</v>
      </c>
      <c r="F29" s="77">
        <f>E29+4</f>
        <v>46117</v>
      </c>
      <c r="G29" s="11"/>
      <c r="H29" s="5">
        <f t="shared" si="5"/>
        <v>5</v>
      </c>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s="38" customFormat="1" ht="30" customHeight="1" thickBot="1" x14ac:dyDescent="0.35">
      <c r="A30" s="7"/>
      <c r="B30" s="78"/>
      <c r="C30" s="79"/>
      <c r="D30" s="80"/>
      <c r="E30" s="81"/>
      <c r="F30" s="81"/>
      <c r="G30" s="11"/>
      <c r="H30" s="5" t="str">
        <f t="shared" si="5"/>
        <v/>
      </c>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row>
    <row r="31" spans="1:64" s="38" customFormat="1" ht="30" customHeight="1" thickBot="1" x14ac:dyDescent="0.35">
      <c r="A31" s="8"/>
      <c r="B31" s="82" t="s">
        <v>0</v>
      </c>
      <c r="C31" s="83"/>
      <c r="D31" s="84"/>
      <c r="E31" s="85"/>
      <c r="F31" s="86"/>
      <c r="G31" s="11"/>
      <c r="H31" s="6" t="str">
        <f t="shared" si="5"/>
        <v/>
      </c>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row>
    <row r="32" spans="1:64" ht="30" customHeight="1" x14ac:dyDescent="0.3">
      <c r="G32" s="3"/>
    </row>
    <row r="33" spans="3:6" ht="30" customHeight="1" x14ac:dyDescent="0.3">
      <c r="C33" s="10"/>
      <c r="F33" s="9"/>
    </row>
    <row r="34" spans="3:6" ht="30" customHeight="1" x14ac:dyDescent="0.3">
      <c r="C34"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9">
    <cfRule type="expression" dxfId="8" priority="1">
      <formula>AND(TODAY()&gt;=I$5, TODAY()&lt;J$5)</formula>
    </cfRule>
  </conditionalFormatting>
  <conditionalFormatting sqref="I9:BL14">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6:BL20">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2:BL23">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5:BL29">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joe simpson</dc:creator>
  <dc:description/>
  <cp:lastModifiedBy>joe simpson</cp:lastModifiedBy>
  <dcterms:created xsi:type="dcterms:W3CDTF">2022-03-11T22:41:12Z</dcterms:created>
  <dcterms:modified xsi:type="dcterms:W3CDTF">2026-03-16T12:00:36Z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